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pu\Downloads\"/>
    </mc:Choice>
  </mc:AlternateContent>
  <xr:revisionPtr revIDLastSave="0" documentId="8_{7CB1D135-7572-409A-99AA-67A332490FEB}" xr6:coauthVersionLast="47" xr6:coauthVersionMax="47" xr10:uidLastSave="{00000000-0000-0000-0000-000000000000}"/>
  <bookViews>
    <workbookView xWindow="-108" yWindow="-108" windowWidth="23256" windowHeight="12456" xr2:uid="{139A6D6D-F392-4D62-8EB2-D689E5971254}"/>
  </bookViews>
  <sheets>
    <sheet name="Sheet1" sheetId="1" r:id="rId1"/>
  </sheets>
  <definedNames>
    <definedName name="solver_adj" localSheetId="0" hidden="1">Sheet1!$F$3:$I$3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Sheet1!$G$3</definedName>
    <definedName name="solver_lhs2" localSheetId="0" hidden="1">Sheet1!$K$8</definedName>
    <definedName name="solver_lhs3" localSheetId="0" hidden="1">Sheet1!$K$9:$K$11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Sheet1!$M$4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1</definedName>
    <definedName name="solver_rhs1" localSheetId="0" hidden="1">"integer"</definedName>
    <definedName name="solver_rhs2" localSheetId="0" hidden="1">Sheet1!$M$8</definedName>
    <definedName name="solver_rhs3" localSheetId="0" hidden="1">Sheet1!$M$9:$M$11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M10" i="1"/>
  <c r="M4" i="1"/>
  <c r="I8" i="1"/>
  <c r="H8" i="1"/>
  <c r="G8" i="1"/>
  <c r="E3" i="1"/>
  <c r="E8" i="1" s="1"/>
  <c r="H10" i="1"/>
  <c r="G10" i="1"/>
  <c r="M9" i="1"/>
  <c r="M11" i="1"/>
  <c r="F11" i="1"/>
  <c r="K11" i="1" s="1"/>
  <c r="H9" i="1"/>
  <c r="G9" i="1"/>
  <c r="F9" i="1"/>
  <c r="C7" i="1"/>
  <c r="B7" i="1"/>
  <c r="M7" i="1" s="1"/>
  <c r="D3" i="1"/>
  <c r="K10" i="1" l="1"/>
  <c r="K8" i="1"/>
  <c r="K9" i="1"/>
</calcChain>
</file>

<file path=xl/sharedStrings.xml><?xml version="1.0" encoding="utf-8"?>
<sst xmlns="http://schemas.openxmlformats.org/spreadsheetml/2006/main" count="21" uniqueCount="19">
  <si>
    <t>RMX</t>
  </si>
  <si>
    <t>RMY</t>
  </si>
  <si>
    <t>PP</t>
  </si>
  <si>
    <t>SW</t>
  </si>
  <si>
    <t>LW</t>
  </si>
  <si>
    <t>PK</t>
  </si>
  <si>
    <t>PM</t>
  </si>
  <si>
    <t>TLW</t>
  </si>
  <si>
    <t>Total</t>
  </si>
  <si>
    <t>&lt;=</t>
  </si>
  <si>
    <t>=</t>
  </si>
  <si>
    <t>PP&lt;=RMY</t>
  </si>
  <si>
    <t>PP+PK+PM&lt;=RMY</t>
  </si>
  <si>
    <t>PP&lt;=RMX</t>
  </si>
  <si>
    <t>LW=0</t>
  </si>
  <si>
    <t>Total Supplies</t>
  </si>
  <si>
    <t>Variables</t>
  </si>
  <si>
    <t>Units</t>
  </si>
  <si>
    <t>Profit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</si>
</sst>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0D30-5D17-4D81-AC42-8B3F17A8A8A1}">
  <dimension ref="A2:M11"/>
  <sheetViews>
    <sheetView tabSelected="1" workbookViewId="0">
      <selection activeCell="N14" sqref="N14"/>
    </sheetView>
  </sheetViews>
  <sheetFormatPr defaultRowHeight="14.4" x14ac:dyDescent="0.3"/>
  <cols>
    <col min="1" max="1" width="15.5546875" bestFit="1" customWidth="1"/>
    <col min="7" max="7" width="12" bestFit="1" customWidth="1"/>
    <col min="11" max="11" width="12" bestFit="1" customWidth="1"/>
    <col min="13" max="13" width="11.21875" bestFit="1" customWidth="1"/>
  </cols>
  <sheetData>
    <row r="2" spans="1:13" x14ac:dyDescent="0.3">
      <c r="A2" t="s">
        <v>16</v>
      </c>
      <c r="B2" t="s">
        <v>0</v>
      </c>
      <c r="C2" t="s">
        <v>1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7</v>
      </c>
      <c r="M2" t="s">
        <v>8</v>
      </c>
    </row>
    <row r="3" spans="1:13" x14ac:dyDescent="0.3">
      <c r="A3" t="s">
        <v>17</v>
      </c>
      <c r="B3">
        <v>7500</v>
      </c>
      <c r="C3">
        <v>9000</v>
      </c>
      <c r="D3">
        <f>F3</f>
        <v>4500</v>
      </c>
      <c r="E3">
        <f>F3</f>
        <v>4500</v>
      </c>
      <c r="F3">
        <v>4500</v>
      </c>
      <c r="G3">
        <v>0</v>
      </c>
      <c r="H3">
        <v>0</v>
      </c>
      <c r="I3">
        <v>4499.9999999999991</v>
      </c>
    </row>
    <row r="4" spans="1:13" x14ac:dyDescent="0.3">
      <c r="A4" t="s">
        <v>18</v>
      </c>
      <c r="F4">
        <v>5.7</v>
      </c>
      <c r="G4">
        <v>0.6</v>
      </c>
      <c r="H4">
        <v>0.55000000000000004</v>
      </c>
      <c r="I4">
        <v>-0.25</v>
      </c>
      <c r="M4" s="1">
        <f>(F3*F4)+(G3*G4)+(H3*H4)+(I3*I4)</f>
        <v>24525</v>
      </c>
    </row>
    <row r="7" spans="1:13" x14ac:dyDescent="0.3">
      <c r="A7" t="s">
        <v>15</v>
      </c>
      <c r="B7">
        <f>B3</f>
        <v>7500</v>
      </c>
      <c r="C7">
        <f>C3</f>
        <v>9000</v>
      </c>
      <c r="M7">
        <f>B7+C7</f>
        <v>16500</v>
      </c>
    </row>
    <row r="8" spans="1:13" x14ac:dyDescent="0.3">
      <c r="A8" t="s">
        <v>14</v>
      </c>
      <c r="E8">
        <f>E3</f>
        <v>4500</v>
      </c>
      <c r="G8">
        <f>G3</f>
        <v>0</v>
      </c>
      <c r="H8">
        <f>H3</f>
        <v>0</v>
      </c>
      <c r="I8">
        <f>I3</f>
        <v>4499.9999999999991</v>
      </c>
      <c r="K8">
        <f>E8-(G8+H8+I8)</f>
        <v>0</v>
      </c>
      <c r="L8" t="s">
        <v>10</v>
      </c>
      <c r="M8">
        <v>0</v>
      </c>
    </row>
    <row r="9" spans="1:13" x14ac:dyDescent="0.3">
      <c r="A9" t="s">
        <v>13</v>
      </c>
      <c r="F9">
        <f>F3</f>
        <v>4500</v>
      </c>
      <c r="G9">
        <f>G3</f>
        <v>0</v>
      </c>
      <c r="H9">
        <f>H3</f>
        <v>0</v>
      </c>
      <c r="K9">
        <f>SUM(F9:H9)</f>
        <v>4500</v>
      </c>
      <c r="L9" t="s">
        <v>9</v>
      </c>
      <c r="M9">
        <f>B3</f>
        <v>7500</v>
      </c>
    </row>
    <row r="10" spans="1:13" x14ac:dyDescent="0.3">
      <c r="A10" t="s">
        <v>12</v>
      </c>
      <c r="F10">
        <f>2*F3</f>
        <v>9000</v>
      </c>
      <c r="G10">
        <f>G3</f>
        <v>0</v>
      </c>
      <c r="H10">
        <f>H3</f>
        <v>0</v>
      </c>
      <c r="K10">
        <f>(F10+G10+H10)</f>
        <v>9000</v>
      </c>
      <c r="L10" t="s">
        <v>9</v>
      </c>
      <c r="M10">
        <f>C3</f>
        <v>9000</v>
      </c>
    </row>
    <row r="11" spans="1:13" x14ac:dyDescent="0.3">
      <c r="A11" t="s">
        <v>11</v>
      </c>
      <c r="F11">
        <f>F3</f>
        <v>4500</v>
      </c>
      <c r="K11">
        <f>F11</f>
        <v>4500</v>
      </c>
      <c r="L11" t="s">
        <v>9</v>
      </c>
      <c r="M11">
        <f>C3/2</f>
        <v>4500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D332F71C1A7245B3F7A3C43E05A6F6" ma:contentTypeVersion="9" ma:contentTypeDescription="Create a new document." ma:contentTypeScope="" ma:versionID="82350119cf7701d84b9e5de8346a05c7">
  <xsd:schema xmlns:xsd="http://www.w3.org/2001/XMLSchema" xmlns:xs="http://www.w3.org/2001/XMLSchema" xmlns:p="http://schemas.microsoft.com/office/2006/metadata/properties" xmlns:ns3="e1e4619f-bc2a-4f79-91f8-21fa2d47f115" xmlns:ns4="41df3ab5-1089-49ab-8dca-b10850ab00f2" targetNamespace="http://schemas.microsoft.com/office/2006/metadata/properties" ma:root="true" ma:fieldsID="3d65fb04a1e523f558aa11a9ecc362a2" ns3:_="" ns4:_="">
    <xsd:import namespace="e1e4619f-bc2a-4f79-91f8-21fa2d47f115"/>
    <xsd:import namespace="41df3ab5-1089-49ab-8dca-b10850ab00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4619f-bc2a-4f79-91f8-21fa2d47f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f3ab5-1089-49ab-8dca-b10850ab00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e4619f-bc2a-4f79-91f8-21fa2d47f115" xsi:nil="true"/>
  </documentManagement>
</p:properties>
</file>

<file path=customXml/itemProps1.xml><?xml version="1.0" encoding="utf-8"?>
<ds:datastoreItem xmlns:ds="http://schemas.openxmlformats.org/officeDocument/2006/customXml" ds:itemID="{7F832D65-78B1-4DD3-BDF1-0D009E159F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0CB202-EC16-449A-AE1F-FE3A8921A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4619f-bc2a-4f79-91f8-21fa2d47f115"/>
    <ds:schemaRef ds:uri="41df3ab5-1089-49ab-8dca-b10850ab0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D67202-66CC-4DEB-B63D-C49C55C05F33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41df3ab5-1089-49ab-8dca-b10850ab00f2"/>
    <ds:schemaRef ds:uri="e1e4619f-bc2a-4f79-91f8-21fa2d47f11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M. Pusateri</dc:creator>
  <cp:lastModifiedBy>Salvatore M. Pusateri</cp:lastModifiedBy>
  <dcterms:created xsi:type="dcterms:W3CDTF">2026-02-17T14:48:36Z</dcterms:created>
  <dcterms:modified xsi:type="dcterms:W3CDTF">2026-02-18T16:19:08Z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0x010100E7D332F71C1A7245B3F7A3C43E05A6F6</vt:lpwstr>
  </property>
</Properties>
</file>